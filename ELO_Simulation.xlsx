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 Match Simulator" sheetId="1" state="visible" r:id="rId1"/>
    <sheet name="Scenarios" sheetId="2" state="visible" r:id="rId2"/>
    <sheet name="Sequence Simulator" sheetId="3" state="visible" r:id="rId3"/>
    <sheet name="Documen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4" fillId="0" borderId="0" pivotButton="0" quotePrefix="0" xfId="0"/>
    <xf numFmtId="0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5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ELO Match Simulator (Grabbarnas Serie)</t>
        </is>
      </c>
    </row>
    <row r="3">
      <c r="A3" s="2" t="inlineStr">
        <is>
          <t>Match Settings</t>
        </is>
      </c>
    </row>
    <row r="4">
      <c r="A4" t="inlineStr">
        <is>
          <t>Score Type</t>
        </is>
      </c>
      <c r="B4" s="3" t="inlineStr">
        <is>
          <t>Sets</t>
        </is>
      </c>
      <c r="C4" t="inlineStr">
        <is>
          <t>Sets or Points</t>
        </is>
      </c>
    </row>
    <row r="5">
      <c r="A5" t="inlineStr">
        <is>
          <t>Score Target (if Points)</t>
        </is>
      </c>
      <c r="B5" s="3" t="n">
        <v>21</v>
      </c>
      <c r="C5" t="inlineStr">
        <is>
          <t>Points needed to win (e.g. 21, 31)</t>
        </is>
      </c>
    </row>
    <row r="6">
      <c r="A6" t="inlineStr">
        <is>
          <t>Is Tournament?</t>
        </is>
      </c>
      <c r="B6" s="3" t="inlineStr">
        <is>
          <t>No</t>
        </is>
      </c>
      <c r="C6" t="inlineStr">
        <is>
          <t>Tournament matches have 1.0 weight</t>
        </is>
      </c>
    </row>
    <row r="8">
      <c r="A8" t="inlineStr">
        <is>
          <t>Team 1 Score</t>
        </is>
      </c>
      <c r="B8" s="3" t="n">
        <v>2</v>
      </c>
    </row>
    <row r="9">
      <c r="A9" t="inlineStr">
        <is>
          <t>Team 2 Score</t>
        </is>
      </c>
      <c r="B9" s="3" t="n">
        <v>0</v>
      </c>
    </row>
    <row r="12">
      <c r="A12" s="2" t="inlineStr">
        <is>
          <t>Players Input</t>
        </is>
      </c>
    </row>
    <row r="13">
      <c r="A13" s="4" t="inlineStr">
        <is>
          <t>Name</t>
        </is>
      </c>
      <c r="B13" s="4" t="inlineStr">
        <is>
          <t>Current ELO</t>
        </is>
      </c>
      <c r="C13" s="4" t="inlineStr">
        <is>
          <t>Games Played</t>
        </is>
      </c>
      <c r="D13" s="4" t="inlineStr">
        <is>
          <t>Team</t>
        </is>
      </c>
      <c r="F13" s="4" t="inlineStr">
        <is>
          <t>Team Avg</t>
        </is>
      </c>
      <c r="G13" s="4" t="inlineStr">
        <is>
          <t>K-Factor</t>
        </is>
      </c>
      <c r="H13" s="4" t="inlineStr">
        <is>
          <t>Exp. Score</t>
        </is>
      </c>
      <c r="I13" s="4" t="inlineStr">
        <is>
          <t>Player Weight</t>
        </is>
      </c>
      <c r="J13" s="4" t="inlineStr">
        <is>
          <t>Eff. Weight</t>
        </is>
      </c>
      <c r="K13" s="4" t="inlineStr">
        <is>
          <t>M. Multiplier</t>
        </is>
      </c>
      <c r="L13" s="4" t="inlineStr">
        <is>
          <t>Match Weight</t>
        </is>
      </c>
      <c r="N13" s="4" t="inlineStr">
        <is>
          <t>Result</t>
        </is>
      </c>
      <c r="O13" s="4" t="inlineStr">
        <is>
          <t>Delta</t>
        </is>
      </c>
      <c r="P13" s="4" t="inlineStr">
        <is>
          <t>New ELO</t>
        </is>
      </c>
    </row>
    <row r="14">
      <c r="A14" s="3" t="inlineStr">
        <is>
          <t>Player 1A</t>
        </is>
      </c>
      <c r="B14" s="3" t="n">
        <v>1000</v>
      </c>
      <c r="C14" s="3" t="n">
        <v>0</v>
      </c>
      <c r="D14" s="5" t="inlineStr">
        <is>
          <t>Team 1</t>
        </is>
      </c>
      <c r="F14" s="6">
        <f>AVERAGE(B14,B15)</f>
        <v/>
      </c>
      <c r="G14" s="6">
        <f>IF(C14&lt;10, 40, IF(C14&lt;30, 30, 20))</f>
        <v/>
      </c>
      <c r="H14" s="6">
        <f>1 / (1 + 10^((F16 - F14) / 300))</f>
        <v/>
      </c>
      <c r="I14" s="6">
        <f>MIN(1.25, MAX(0.75, 1 + (F14 - B14) / 800))</f>
        <v/>
      </c>
      <c r="J14" s="6">
        <f>IF(B8&gt;B9, I14, 1/I14)</f>
        <v/>
      </c>
      <c r="K14" s="6">
        <f>1 + MIN(0.2, MIN(2, ABS(B8 - B9)) * 0.1)</f>
        <v/>
      </c>
      <c r="L14" s="6">
        <f>IF(B6="Yes", 1, IF(B4="Sets", IF(MAX(B8,B9)&gt;=6, 1, 0.5), IF(B5&gt;21, 1, 0.5)))</f>
        <v/>
      </c>
      <c r="N14" s="5">
        <f>IF(B8&gt;B9, "Win", "Loss")</f>
        <v/>
      </c>
      <c r="O14" s="7">
        <f>ROUND(G14 * K14 * L14 * J14 * (IF(B8&gt;B9, 1, 0) - H14), 0)</f>
        <v/>
      </c>
      <c r="P14" s="7">
        <f>B14 + O14</f>
        <v/>
      </c>
    </row>
    <row r="15">
      <c r="A15" s="3" t="inlineStr">
        <is>
          <t>Player 1B</t>
        </is>
      </c>
      <c r="B15" s="3" t="n">
        <v>1000</v>
      </c>
      <c r="C15" s="3" t="n">
        <v>0</v>
      </c>
      <c r="D15" s="5" t="inlineStr">
        <is>
          <t>Team 1</t>
        </is>
      </c>
      <c r="F15" s="6">
        <f>F14</f>
        <v/>
      </c>
      <c r="G15" s="6">
        <f>IF(C15&lt;10, 40, IF(C15&lt;30, 30, 20))</f>
        <v/>
      </c>
      <c r="H15" s="6">
        <f>1 / (1 + 10^((F16 - F15) / 300))</f>
        <v/>
      </c>
      <c r="I15" s="6">
        <f>MIN(1.25, MAX(0.75, 1 + (F15 - B15) / 800))</f>
        <v/>
      </c>
      <c r="J15" s="6">
        <f>IF(B8&gt;B9, I15, 1/I15)</f>
        <v/>
      </c>
      <c r="K15" s="6">
        <f>K14</f>
        <v/>
      </c>
      <c r="L15" s="6">
        <f>L14</f>
        <v/>
      </c>
      <c r="N15" s="5">
        <f>IF(B8&gt;B9, "Win", "Loss")</f>
        <v/>
      </c>
      <c r="O15" s="7">
        <f>ROUND(G15 * K15 * L15 * J15 * (IF(B8&gt;B9, 1, 0) - H15), 0)</f>
        <v/>
      </c>
      <c r="P15" s="7">
        <f>B15 + O15</f>
        <v/>
      </c>
    </row>
    <row r="16">
      <c r="A16" s="3" t="inlineStr">
        <is>
          <t>Player 2A</t>
        </is>
      </c>
      <c r="B16" s="3" t="n">
        <v>1000</v>
      </c>
      <c r="C16" s="3" t="n">
        <v>0</v>
      </c>
      <c r="D16" s="5" t="inlineStr">
        <is>
          <t>Team 2</t>
        </is>
      </c>
      <c r="F16" s="6">
        <f>AVERAGE(B16,B17)</f>
        <v/>
      </c>
      <c r="G16" s="6">
        <f>IF(C16&lt;10, 40, IF(C16&lt;30, 30, 20))</f>
        <v/>
      </c>
      <c r="H16" s="6">
        <f>1 / (1 + 10^((F14 - F16) / 300))</f>
        <v/>
      </c>
      <c r="I16" s="6">
        <f>MIN(1.25, MAX(0.75, 1 + (F16 - B16) / 800))</f>
        <v/>
      </c>
      <c r="J16" s="6">
        <f>IF(B9&gt;B8, I16, 1/I16)</f>
        <v/>
      </c>
      <c r="K16" s="6">
        <f>K14</f>
        <v/>
      </c>
      <c r="L16" s="6">
        <f>L14</f>
        <v/>
      </c>
      <c r="N16" s="5">
        <f>IF(B9&gt;B8, "Win", "Loss")</f>
        <v/>
      </c>
      <c r="O16" s="7">
        <f>ROUND(G16 * K16 * L16 * J16 * (IF(B9&gt;B8, 1, 0) - H16), 0)</f>
        <v/>
      </c>
      <c r="P16" s="7">
        <f>B16 + O16</f>
        <v/>
      </c>
    </row>
    <row r="17">
      <c r="A17" s="3" t="inlineStr">
        <is>
          <t>Player 2B</t>
        </is>
      </c>
      <c r="B17" s="3" t="n">
        <v>1000</v>
      </c>
      <c r="C17" s="3" t="n">
        <v>0</v>
      </c>
      <c r="D17" s="5" t="inlineStr">
        <is>
          <t>Team 2</t>
        </is>
      </c>
      <c r="F17" s="6">
        <f>F16</f>
        <v/>
      </c>
      <c r="G17" s="6">
        <f>IF(C17&lt;10, 40, IF(C17&lt;30, 30, 20))</f>
        <v/>
      </c>
      <c r="H17" s="6">
        <f>1 / (1 + 10^((F14 - F17) / 300))</f>
        <v/>
      </c>
      <c r="I17" s="6">
        <f>MIN(1.25, MAX(0.75, 1 + (F17 - B17) / 800))</f>
        <v/>
      </c>
      <c r="J17" s="6">
        <f>IF(B9&gt;B8, I17, 1/I17)</f>
        <v/>
      </c>
      <c r="K17" s="6">
        <f>K14</f>
        <v/>
      </c>
      <c r="L17" s="6">
        <f>L14</f>
        <v/>
      </c>
      <c r="N17" s="5">
        <f>IF(B9&gt;B8, "Win", "Loss")</f>
        <v/>
      </c>
      <c r="O17" s="7">
        <f>ROUND(G17 * K17 * L17 * J17 * (IF(B9&gt;B8, 1, 0) - H17), 0)</f>
        <v/>
      </c>
      <c r="P17" s="7">
        <f>B17 + O17</f>
        <v/>
      </c>
    </row>
  </sheetData>
  <mergeCells count="1">
    <mergeCell ref="A1:P1"/>
  </mergeCells>
  <dataValidations count="2">
    <dataValidation sqref="B4" showDropDown="0" showInputMessage="0" showErrorMessage="0" allowBlank="1" type="list">
      <formula1>"Sets,Points"</formula1>
    </dataValidation>
    <dataValidation sqref="B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8" t="inlineStr">
        <is>
          <t>Scenario 1: Balanced</t>
        </is>
      </c>
      <c r="B1" s="5" t="inlineStr">
        <is>
          <t>Everyone starts at 1000 ELO. 2-0 Win.</t>
        </is>
      </c>
    </row>
    <row r="2">
      <c r="A2" s="9" t="inlineStr">
        <is>
          <t>Player</t>
        </is>
      </c>
      <c r="B2" s="9" t="inlineStr">
        <is>
          <t>Start ELO</t>
        </is>
      </c>
      <c r="C2" s="9" t="inlineStr">
        <is>
          <t>Games</t>
        </is>
      </c>
      <c r="D2" s="9" t="inlineStr">
        <is>
          <t>Opp. Avg</t>
        </is>
      </c>
      <c r="E2" s="9" t="inlineStr">
        <is>
          <t>Result</t>
        </is>
      </c>
      <c r="F2" s="9" t="inlineStr">
        <is>
          <t>Delta</t>
        </is>
      </c>
      <c r="G2" s="9" t="inlineStr">
        <is>
          <t>End ELO</t>
        </is>
      </c>
    </row>
    <row r="3">
      <c r="A3" s="5" t="inlineStr">
        <is>
          <t>P1A</t>
        </is>
      </c>
      <c r="B3" s="5" t="n">
        <v>1000</v>
      </c>
      <c r="C3" s="5" t="n">
        <v>0</v>
      </c>
      <c r="D3" s="5" t="n">
        <v>1000</v>
      </c>
      <c r="E3" s="5" t="inlineStr">
        <is>
          <t>Win</t>
        </is>
      </c>
      <c r="F3" s="5" t="n">
        <v>12</v>
      </c>
      <c r="G3" s="5" t="n">
        <v>1012</v>
      </c>
    </row>
    <row r="4">
      <c r="A4" s="5" t="inlineStr">
        <is>
          <t>P1B</t>
        </is>
      </c>
      <c r="B4" s="5" t="n">
        <v>1000</v>
      </c>
      <c r="C4" s="5" t="n">
        <v>0</v>
      </c>
      <c r="D4" s="5" t="n">
        <v>1000</v>
      </c>
      <c r="E4" s="5" t="inlineStr">
        <is>
          <t>Win</t>
        </is>
      </c>
      <c r="F4" s="5" t="n">
        <v>12</v>
      </c>
      <c r="G4" s="5" t="n">
        <v>1012</v>
      </c>
    </row>
    <row r="5">
      <c r="A5" s="5" t="inlineStr">
        <is>
          <t>P2A</t>
        </is>
      </c>
      <c r="B5" s="5" t="n">
        <v>1000</v>
      </c>
      <c r="C5" s="5" t="n">
        <v>0</v>
      </c>
      <c r="D5" s="5" t="n">
        <v>1000</v>
      </c>
      <c r="E5" s="5" t="inlineStr">
        <is>
          <t>Loss</t>
        </is>
      </c>
      <c r="F5" s="5" t="n">
        <v>-12</v>
      </c>
      <c r="G5" s="5" t="n">
        <v>988</v>
      </c>
    </row>
    <row r="6">
      <c r="A6" s="5" t="inlineStr">
        <is>
          <t>P2B</t>
        </is>
      </c>
      <c r="B6" s="5" t="n">
        <v>1000</v>
      </c>
      <c r="C6" s="5" t="n">
        <v>0</v>
      </c>
      <c r="D6" s="5" t="n">
        <v>1000</v>
      </c>
      <c r="E6" s="5" t="inlineStr">
        <is>
          <t>Loss</t>
        </is>
      </c>
      <c r="F6" s="5" t="n">
        <v>-12</v>
      </c>
      <c r="G6" s="5" t="n">
        <v>988</v>
      </c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8" t="inlineStr">
        <is>
          <t>Scenario 2: Underdog</t>
        </is>
      </c>
      <c r="B8" s="5" t="inlineStr">
        <is>
          <t>Team 1 (Avg 800) vs Team 2 (Avg 1200). 2-1 Win for T1.</t>
        </is>
      </c>
    </row>
    <row r="9">
      <c r="A9" s="9" t="inlineStr">
        <is>
          <t>Player</t>
        </is>
      </c>
      <c r="B9" s="9" t="inlineStr">
        <is>
          <t>Start ELO</t>
        </is>
      </c>
      <c r="C9" s="9" t="inlineStr">
        <is>
          <t>Games</t>
        </is>
      </c>
      <c r="D9" s="9" t="inlineStr">
        <is>
          <t>Opp. Avg</t>
        </is>
      </c>
      <c r="E9" s="9" t="inlineStr">
        <is>
          <t>Result</t>
        </is>
      </c>
      <c r="F9" s="9" t="inlineStr">
        <is>
          <t>Delta</t>
        </is>
      </c>
      <c r="G9" s="9" t="inlineStr">
        <is>
          <t>End ELO</t>
        </is>
      </c>
    </row>
    <row r="10">
      <c r="A10" s="5" t="inlineStr">
        <is>
          <t>P1A (800)</t>
        </is>
      </c>
      <c r="B10" s="5" t="n">
        <v>800</v>
      </c>
      <c r="C10" s="5" t="n">
        <v>30</v>
      </c>
      <c r="D10" s="5" t="n">
        <v>1200</v>
      </c>
      <c r="E10" s="5" t="inlineStr">
        <is>
          <t>Win</t>
        </is>
      </c>
      <c r="F10" s="5" t="n">
        <v>19</v>
      </c>
      <c r="G10" s="5" t="n">
        <v>819</v>
      </c>
    </row>
    <row r="11">
      <c r="A11" s="5" t="inlineStr">
        <is>
          <t>P1B (800)</t>
        </is>
      </c>
      <c r="B11" s="5" t="n">
        <v>800</v>
      </c>
      <c r="C11" s="5" t="n">
        <v>30</v>
      </c>
      <c r="D11" s="5" t="n">
        <v>1200</v>
      </c>
      <c r="E11" s="5" t="inlineStr">
        <is>
          <t>Win</t>
        </is>
      </c>
      <c r="F11" s="5" t="n">
        <v>19</v>
      </c>
      <c r="G11" s="5" t="n">
        <v>819</v>
      </c>
    </row>
    <row r="12">
      <c r="A12" s="5" t="inlineStr">
        <is>
          <t>P2A (1200)</t>
        </is>
      </c>
      <c r="B12" s="5" t="n">
        <v>1200</v>
      </c>
      <c r="C12" s="5" t="n">
        <v>30</v>
      </c>
      <c r="D12" s="5" t="n">
        <v>800</v>
      </c>
      <c r="E12" s="5" t="inlineStr">
        <is>
          <t>Loss</t>
        </is>
      </c>
      <c r="F12" s="5" t="n">
        <v>-19</v>
      </c>
      <c r="G12" s="5" t="n">
        <v>1181</v>
      </c>
    </row>
    <row r="13">
      <c r="A13" s="5" t="inlineStr">
        <is>
          <t>P2B (1200)</t>
        </is>
      </c>
      <c r="B13" s="5" t="n">
        <v>1200</v>
      </c>
      <c r="C13" s="5" t="n">
        <v>30</v>
      </c>
      <c r="D13" s="5" t="n">
        <v>800</v>
      </c>
      <c r="E13" s="5" t="inlineStr">
        <is>
          <t>Loss</t>
        </is>
      </c>
      <c r="F13" s="5" t="n">
        <v>-19</v>
      </c>
      <c r="G13" s="5" t="n">
        <v>1181</v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s="8" t="inlineStr">
        <is>
          <t>Scenario 3: Carry</t>
        </is>
      </c>
      <c r="B15" s="5" t="inlineStr">
        <is>
          <t>T1: P1A(1400) &amp; P1B(600) vs T2: Avg 1000. 2-0 Win for T1.</t>
        </is>
      </c>
    </row>
    <row r="16">
      <c r="A16" s="9" t="inlineStr">
        <is>
          <t>Player</t>
        </is>
      </c>
      <c r="B16" s="9" t="inlineStr">
        <is>
          <t>Start ELO</t>
        </is>
      </c>
      <c r="C16" s="9" t="inlineStr">
        <is>
          <t>Games</t>
        </is>
      </c>
      <c r="D16" s="9" t="inlineStr">
        <is>
          <t>Opp. Avg</t>
        </is>
      </c>
      <c r="E16" s="9" t="inlineStr">
        <is>
          <t>Result</t>
        </is>
      </c>
      <c r="F16" s="9" t="inlineStr">
        <is>
          <t>Delta</t>
        </is>
      </c>
      <c r="G16" s="9" t="inlineStr">
        <is>
          <t>End ELO</t>
        </is>
      </c>
    </row>
    <row r="17">
      <c r="A17" s="5" t="inlineStr">
        <is>
          <t>P1A (1400)</t>
        </is>
      </c>
      <c r="B17" s="5" t="n">
        <v>1400</v>
      </c>
      <c r="C17" s="5" t="n">
        <v>50</v>
      </c>
      <c r="D17" s="5" t="n">
        <v>1000</v>
      </c>
      <c r="E17" s="5" t="inlineStr">
        <is>
          <t>Win</t>
        </is>
      </c>
      <c r="F17" s="5" t="n">
        <v>4</v>
      </c>
      <c r="G17" s="5" t="n">
        <v>1404</v>
      </c>
    </row>
    <row r="18">
      <c r="A18" s="5" t="inlineStr">
        <is>
          <t>P1B (600)</t>
        </is>
      </c>
      <c r="B18" s="5" t="n">
        <v>600</v>
      </c>
      <c r="C18" s="5" t="n">
        <v>50</v>
      </c>
      <c r="D18" s="5" t="n">
        <v>1000</v>
      </c>
      <c r="E18" s="5" t="inlineStr">
        <is>
          <t>Win</t>
        </is>
      </c>
      <c r="F18" s="5" t="n">
        <v>11</v>
      </c>
      <c r="G18" s="5" t="n">
        <v>611</v>
      </c>
    </row>
    <row r="19">
      <c r="A19" s="5" t="inlineStr">
        <is>
          <t>P2A (1000)</t>
        </is>
      </c>
      <c r="B19" s="5" t="n">
        <v>1000</v>
      </c>
      <c r="C19" s="5" t="n">
        <v>50</v>
      </c>
      <c r="D19" s="5" t="n">
        <v>1000</v>
      </c>
      <c r="E19" s="5" t="inlineStr">
        <is>
          <t>Loss</t>
        </is>
      </c>
      <c r="F19" s="5" t="n">
        <v>-7</v>
      </c>
      <c r="G19" s="5" t="n">
        <v>993</v>
      </c>
    </row>
    <row r="20">
      <c r="A20" s="5" t="inlineStr">
        <is>
          <t>P2B (1000)</t>
        </is>
      </c>
      <c r="B20" s="5" t="n">
        <v>1000</v>
      </c>
      <c r="C20" s="5" t="n">
        <v>50</v>
      </c>
      <c r="D20" s="5" t="n">
        <v>1000</v>
      </c>
      <c r="E20" s="5" t="inlineStr">
        <is>
          <t>Loss</t>
        </is>
      </c>
      <c r="F20" s="5" t="n">
        <v>-7</v>
      </c>
      <c r="G20" s="5" t="n">
        <v>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10" t="inlineStr">
        <is>
          <t>Sequence of Matches</t>
        </is>
      </c>
    </row>
    <row r="3">
      <c r="A3" t="inlineStr">
        <is>
          <t>Instructions: Enter match results row by row. Use the Single Match sheet to find deltas.</t>
        </is>
      </c>
    </row>
    <row r="5">
      <c r="A5" s="4" t="inlineStr">
        <is>
          <t>Match #</t>
        </is>
      </c>
      <c r="B5" s="4" t="inlineStr">
        <is>
          <t>Player Name</t>
        </is>
      </c>
      <c r="C5" s="4" t="inlineStr">
        <is>
          <t>Start ELO</t>
        </is>
      </c>
      <c r="D5" s="4" t="inlineStr">
        <is>
          <t>Delta</t>
        </is>
      </c>
      <c r="E5" s="4" t="inlineStr">
        <is>
          <t>End ELO</t>
        </is>
      </c>
    </row>
    <row r="6">
      <c r="A6" s="5" t="inlineStr">
        <is>
          <t>Match 1</t>
        </is>
      </c>
      <c r="B6" s="3" t="n"/>
      <c r="C6" s="5">
        <f>IF(B6="", "", 1000)</f>
        <v/>
      </c>
      <c r="D6" s="3" t="n"/>
      <c r="E6" s="5">
        <f>IF(B6="", "", C6+D6)</f>
        <v/>
      </c>
    </row>
    <row r="7">
      <c r="A7" s="5" t="inlineStr">
        <is>
          <t>Match 2</t>
        </is>
      </c>
      <c r="B7" s="3" t="n"/>
      <c r="C7" s="5">
        <f>E6</f>
        <v/>
      </c>
      <c r="D7" s="3" t="n"/>
      <c r="E7" s="5">
        <f>IF(B7="", "", C7+D7)</f>
        <v/>
      </c>
    </row>
    <row r="8">
      <c r="A8" s="5" t="inlineStr">
        <is>
          <t>Match 3</t>
        </is>
      </c>
      <c r="B8" s="3" t="n"/>
      <c r="C8" s="5">
        <f>E7</f>
        <v/>
      </c>
      <c r="D8" s="3" t="n"/>
      <c r="E8" s="5">
        <f>IF(B8="", "", C8+D8)</f>
        <v/>
      </c>
    </row>
    <row r="9">
      <c r="A9" s="5" t="inlineStr">
        <is>
          <t>Match 4</t>
        </is>
      </c>
      <c r="B9" s="3" t="n"/>
      <c r="C9" s="5">
        <f>E8</f>
        <v/>
      </c>
      <c r="D9" s="3" t="n"/>
      <c r="E9" s="5">
        <f>IF(B9="", "", C9+D9)</f>
        <v/>
      </c>
    </row>
    <row r="10">
      <c r="A10" s="5" t="inlineStr">
        <is>
          <t>Match 5</t>
        </is>
      </c>
      <c r="B10" s="3" t="n"/>
      <c r="C10" s="5">
        <f>E9</f>
        <v/>
      </c>
      <c r="D10" s="3" t="n"/>
      <c r="E10" s="5">
        <f>IF(B10="", "", C10+D10)</f>
        <v/>
      </c>
    </row>
    <row r="11">
      <c r="A11" s="5" t="inlineStr">
        <is>
          <t>Match 6</t>
        </is>
      </c>
      <c r="B11" s="3" t="n"/>
      <c r="C11" s="5">
        <f>E10</f>
        <v/>
      </c>
      <c r="D11" s="3" t="n"/>
      <c r="E11" s="5">
        <f>IF(B11="", "", C11+D11)</f>
        <v/>
      </c>
    </row>
    <row r="12">
      <c r="A12" s="5" t="inlineStr">
        <is>
          <t>Match 7</t>
        </is>
      </c>
      <c r="B12" s="3" t="n"/>
      <c r="C12" s="5">
        <f>E11</f>
        <v/>
      </c>
      <c r="D12" s="3" t="n"/>
      <c r="E12" s="5">
        <f>IF(B12="", "", C12+D12)</f>
        <v/>
      </c>
    </row>
    <row r="13">
      <c r="A13" s="5" t="inlineStr">
        <is>
          <t>Match 8</t>
        </is>
      </c>
      <c r="B13" s="3" t="n"/>
      <c r="C13" s="5">
        <f>E12</f>
        <v/>
      </c>
      <c r="D13" s="3" t="n"/>
      <c r="E13" s="5">
        <f>IF(B13="", "", C13+D13)</f>
        <v/>
      </c>
    </row>
    <row r="14">
      <c r="A14" s="5" t="inlineStr">
        <is>
          <t>Match 9</t>
        </is>
      </c>
      <c r="B14" s="3" t="n"/>
      <c r="C14" s="5">
        <f>E13</f>
        <v/>
      </c>
      <c r="D14" s="3" t="n"/>
      <c r="E14" s="5">
        <f>IF(B14="", "", C14+D14)</f>
        <v/>
      </c>
    </row>
    <row r="15">
      <c r="A15" s="5" t="inlineStr">
        <is>
          <t>Match 10</t>
        </is>
      </c>
      <c r="B15" s="3" t="n"/>
      <c r="C15" s="5">
        <f>E14</f>
        <v/>
      </c>
      <c r="D15" s="3" t="n"/>
      <c r="E15" s="5">
        <f>IF(B15="", "", C15+D15)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1" t="inlineStr">
        <is>
          <t>Term</t>
        </is>
      </c>
      <c r="B1" s="11" t="inlineStr">
        <is>
          <t>Explanation</t>
        </is>
      </c>
    </row>
    <row r="2">
      <c r="A2" s="4" t="inlineStr">
        <is>
          <t>Baseline ELO</t>
        </is>
      </c>
      <c r="B2" s="5" t="inlineStr">
        <is>
          <t>Starting rating for new players. Fixed at 1000.</t>
        </is>
      </c>
    </row>
    <row r="3">
      <c r="A3" s="4" t="inlineStr">
        <is>
          <t>K-Factor</t>
        </is>
      </c>
      <c r="B3" s="5" t="inlineStr">
        <is>
          <t>Determines volatility. &lt;10 games: 40, 10-29 games: 30, 30+ games: 20.</t>
        </is>
      </c>
    </row>
    <row r="4">
      <c r="A4" s="4" t="inlineStr">
        <is>
          <t>Expected Score</t>
        </is>
      </c>
      <c r="B4" s="5" t="inlineStr">
        <is>
          <t>Win probability (0 to 1). Calculated using rating difference (divisor 300).</t>
        </is>
      </c>
    </row>
    <row r="5">
      <c r="A5" s="4" t="inlineStr">
        <is>
          <t>Margin Multiplier</t>
        </is>
      </c>
      <c r="B5" s="5" t="inlineStr">
        <is>
          <t>Bonus for decisive wins. 2-0 sets = 1.2x multiplier. 2-1 sets = 1.1x.</t>
        </is>
      </c>
    </row>
    <row r="6">
      <c r="A6" s="4" t="inlineStr">
        <is>
          <t>Match Length Weight</t>
        </is>
      </c>
      <c r="B6" s="5" t="inlineStr">
        <is>
          <t>Short games (sets &lt;= 3 or points &lt;= 21) = 0.5x. Tournament/Long = 1.0x.</t>
        </is>
      </c>
    </row>
    <row r="7">
      <c r="A7" s="4" t="inlineStr">
        <is>
          <t>Player Weight</t>
        </is>
      </c>
      <c r="B7" s="5" t="inlineStr">
        <is>
          <t>Adjusts gain based on partner difference. Lower rated players get a boost (0.75x to 1.25x).</t>
        </is>
      </c>
    </row>
    <row r="8">
      <c r="A8" s="4" t="inlineStr">
        <is>
          <t>Effective Weight</t>
        </is>
      </c>
      <c r="B8" s="5" t="inlineStr">
        <is>
          <t>Uses Player Weight for wins and 1/Weight for losses.</t>
        </is>
      </c>
    </row>
    <row r="9">
      <c r="A9" s="4" t="inlineStr">
        <is>
          <t>Guest Players</t>
        </is>
      </c>
      <c r="B9" s="5" t="inlineStr">
        <is>
          <t>The app ignores players marked as Guests. In this simulator, simply leave their ELO blank to exclude them from team averages.</t>
        </is>
      </c>
    </row>
    <row r="10">
      <c r="A10" s="4" t="inlineStr"/>
      <c r="B10" s="5" t="inlineStr"/>
    </row>
    <row r="11">
      <c r="A11" s="4" t="inlineStr">
        <is>
          <t>Excel Formulas used:</t>
        </is>
      </c>
      <c r="B11" s="5" t="inlineStr"/>
    </row>
    <row r="12">
      <c r="A12" s="4" t="inlineStr">
        <is>
          <t>Expected Score</t>
        </is>
      </c>
      <c r="B12" s="5">
        <f>1 / (1 + 10^((Opponent_Avg - Own_Avg) / 300))</f>
        <v/>
      </c>
    </row>
    <row r="13">
      <c r="A13" s="4" t="inlineStr">
        <is>
          <t>Player Weight</t>
        </is>
      </c>
      <c r="B13" s="5">
        <f>MIN(1.25, MAX(0.75, 1 + (Team_Avg - Player_Elo) / 800))</f>
        <v/>
      </c>
    </row>
    <row r="14">
      <c r="A14" s="4" t="inlineStr">
        <is>
          <t>Delta</t>
        </is>
      </c>
      <c r="B14" s="5">
        <f>ROUND(K * MarginMult * MatchWeight * EffWeight * (Result - Expected),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2026-01-26T07:51:56Z</dcterms:created>
  <dcterms:modified xsi:type="dcterms:W3CDTF">2026-01-26T07:51:56Z</dcterms:modified>
</cp:coreProperties>
</file>